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taborda\DEV\EMPACOTAMENTO\loading-software\data_load\"/>
    </mc:Choice>
  </mc:AlternateContent>
  <xr:revisionPtr revIDLastSave="0" documentId="13_ncr:1_{3630840D-E6B8-488D-8660-586D241F0BEA}" xr6:coauthVersionLast="47" xr6:coauthVersionMax="47" xr10:uidLastSave="{00000000-0000-0000-0000-000000000000}"/>
  <bookViews>
    <workbookView xWindow="-20475" yWindow="15" windowWidth="20460" windowHeight="10770" xr2:uid="{BA38D1ED-AFF8-41EF-B513-F2C1044326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</calcChain>
</file>

<file path=xl/sharedStrings.xml><?xml version="1.0" encoding="utf-8"?>
<sst xmlns="http://schemas.openxmlformats.org/spreadsheetml/2006/main" count="53" uniqueCount="53">
  <si>
    <t>78058 - ALCALA (5165281)</t>
  </si>
  <si>
    <t>78812 - BANCO ONIROS (5290323)</t>
  </si>
  <si>
    <t>78812 - BANCO ONIROS (5290330)</t>
  </si>
  <si>
    <t>78058 - COCON (5046611)</t>
  </si>
  <si>
    <t>78058 - ECLAT (5182496)</t>
  </si>
  <si>
    <t>78812 - EILEEN (5289981)</t>
  </si>
  <si>
    <t>78812 - GIORNATTA OFFICE (5027606)</t>
  </si>
  <si>
    <t>78812 - GIORNATTA OFFICE (5289985)</t>
  </si>
  <si>
    <t>78812 - GIORNATTA OFFICE (5289991)</t>
  </si>
  <si>
    <t>77609 - MESA ALEXANDRIA (4408799)</t>
  </si>
  <si>
    <t>78971 - MESA BARCELONA (5304534)</t>
  </si>
  <si>
    <t>78057 - MESA CENTRO PICASSO (5182622)</t>
  </si>
  <si>
    <t>78057 - MESA COLONNA (5182624)</t>
  </si>
  <si>
    <t>78971 - MESA ECLIPSE (5304536)</t>
  </si>
  <si>
    <t>78971 - MESA MARIA BASE (5304529)</t>
  </si>
  <si>
    <t>78971 - MESA MARIA TAMPO (5304529)</t>
  </si>
  <si>
    <t>78971 - MESA MARIA BASE (5304532)</t>
  </si>
  <si>
    <t>78971 - MESA MARIA TAMPO (5304532)</t>
  </si>
  <si>
    <t>78812 - MESA MESA CABECEIRA SPLENDEUR (5290322)</t>
  </si>
  <si>
    <t>78812 - MESA NAEVA (5290090)</t>
  </si>
  <si>
    <t>78812 - MESA NAEVA (5290321)</t>
  </si>
  <si>
    <t>78812 - MESA TICIANO (BASE) (4320731)</t>
  </si>
  <si>
    <t>78812 - MESA TICIANO (TAMPO) (4320731)</t>
  </si>
  <si>
    <t>77658 - MONTERREY (5147473)</t>
  </si>
  <si>
    <t>75472 - OTOPENI (4983295)</t>
  </si>
  <si>
    <t>79213 - PAINEL DECORATIVO (5310700)</t>
  </si>
  <si>
    <t>79213 - PAINEL DECORATIVO (5311270)</t>
  </si>
  <si>
    <t>74756 - PAISIBLE (4932215)</t>
  </si>
  <si>
    <t>78058 - POMME (5165248)</t>
  </si>
  <si>
    <t>78058 - POMME (5165276)</t>
  </si>
  <si>
    <t>78058 - POMME (5165243)</t>
  </si>
  <si>
    <t>78812 - SAMMY (4918485)</t>
  </si>
  <si>
    <t>78812 - SAMMY (4918916)</t>
  </si>
  <si>
    <t>78812 - SAMMY (5289992)</t>
  </si>
  <si>
    <t>78812 - SAMMY (5289994)</t>
  </si>
  <si>
    <t>78058 - SAPPHIR E/ (5182563)</t>
  </si>
  <si>
    <t>75472 - SERVIA (4963213)</t>
  </si>
  <si>
    <t>78074 - SONETTO (5184034)</t>
  </si>
  <si>
    <t>78074 - SONETTO (5184038)</t>
  </si>
  <si>
    <t>78074 - TURA (5184111)</t>
  </si>
  <si>
    <t>78074 - TURA (5184019)</t>
  </si>
  <si>
    <t>78074 - TURA (5184108)</t>
  </si>
  <si>
    <t>78074 - VILLA LOBOS (5184045)</t>
  </si>
  <si>
    <t>78074 - VILLA LOBOS (5184051)</t>
  </si>
  <si>
    <t>79213 -BOX (5310465)</t>
  </si>
  <si>
    <t>79213 -BOX (5311296)</t>
  </si>
  <si>
    <t>ITEM</t>
  </si>
  <si>
    <t>peso</t>
  </si>
  <si>
    <t>comprimento</t>
  </si>
  <si>
    <t>profundidade</t>
  </si>
  <si>
    <t>altura</t>
  </si>
  <si>
    <t>qtd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</si>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</sst>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FC782-F19C-427A-A291-9C0B0DDCC18E}" name="Tabela1" displayName="Tabela1" ref="A1:G47" totalsRowShown="0">
  <autoFilter ref="A1:G47" xr:uid="{AE1FC782-F19C-427A-A291-9C0B0DDCC18E}"/>
  <tableColumns count="7">
    <tableColumn id="1" xr3:uid="{65ACE423-3CB5-4522-BFD9-E0A9B0DA9929}" name="ITEM"/>
    <tableColumn id="2" xr3:uid="{E0C0A22A-37AB-4FA7-B2A6-99354C1EE49C}" name="qtd"/>
    <tableColumn id="3" xr3:uid="{FBA3601D-1DEE-4534-8861-3460AEE76EED}" name="peso"/>
    <tableColumn id="4" xr3:uid="{B83861DD-57BF-4E3E-AE8F-261E95E57B54}" name="comprimento"/>
    <tableColumn id="5" xr3:uid="{BC8C317E-EA55-4905-9D39-C45E4E5115FB}" name="profundidade"/>
    <tableColumn id="6" xr3:uid="{88DC3759-0314-47B1-9454-D20C866A6B2E}" name="altura"/>
    <tableColumn id="7" xr3:uid="{996DBE59-551B-4AFD-B200-DA4DB75D98C1}" name="volume" dataDxfId="0">
      <calculatedColumnFormula>Tabela1[[#This Row],[comprimento]]*Tabela1[[#This Row],[profundidade]]*Tabela1[[#This Row],[altura]]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FAAD-7BFD-4CF5-9A15-B9467CECCC06}">
  <dimension ref="A1:G47"/>
  <sheetViews>
    <sheetView tabSelected="1" zoomScale="115" zoomScaleNormal="115" workbookViewId="0">
      <selection activeCell="D1" sqref="D1"/>
    </sheetView>
  </sheetViews>
  <sheetFormatPr defaultRowHeight="15" x14ac:dyDescent="0.25"/>
  <cols>
    <col min="1" max="1" width="46.140625" bestFit="1" customWidth="1"/>
    <col min="2" max="2" width="6.28515625" bestFit="1" customWidth="1"/>
    <col min="3" max="3" width="12" bestFit="1" customWidth="1"/>
    <col min="4" max="5" width="15.5703125" bestFit="1" customWidth="1"/>
    <col min="6" max="6" width="8.42578125" bestFit="1" customWidth="1"/>
    <col min="7" max="7" width="10.140625" bestFit="1" customWidth="1"/>
  </cols>
  <sheetData>
    <row r="1" spans="1:7" x14ac:dyDescent="0.25">
      <c r="A1" t="s">
        <v>46</v>
      </c>
      <c r="B1" t="s">
        <v>51</v>
      </c>
      <c r="C1" t="s">
        <v>47</v>
      </c>
      <c r="D1" t="s">
        <v>48</v>
      </c>
      <c r="E1" t="s">
        <v>49</v>
      </c>
      <c r="F1" t="s">
        <v>50</v>
      </c>
      <c r="G1" t="s">
        <v>52</v>
      </c>
    </row>
    <row r="2" spans="1:7" x14ac:dyDescent="0.25">
      <c r="A2" t="s">
        <v>15</v>
      </c>
      <c r="B2">
        <v>1</v>
      </c>
      <c r="C2">
        <v>7</v>
      </c>
      <c r="D2">
        <v>1.33</v>
      </c>
      <c r="E2">
        <v>0.15</v>
      </c>
      <c r="F2">
        <v>1.44</v>
      </c>
      <c r="G2">
        <f>Tabela1[[#This Row],[comprimento]]*Tabela1[[#This Row],[profundidade]]*Tabela1[[#This Row],[altura]]</f>
        <v>0.28727999999999998</v>
      </c>
    </row>
    <row r="3" spans="1:7" x14ac:dyDescent="0.25">
      <c r="A3" t="s">
        <v>17</v>
      </c>
      <c r="B3">
        <v>1</v>
      </c>
      <c r="C3">
        <v>7</v>
      </c>
      <c r="D3">
        <v>1.43</v>
      </c>
      <c r="E3">
        <v>0.15</v>
      </c>
      <c r="F3">
        <v>1.54</v>
      </c>
      <c r="G3">
        <f>Tabela1[[#This Row],[comprimento]]*Tabela1[[#This Row],[profundidade]]*Tabela1[[#This Row],[altura]]</f>
        <v>0.33033000000000001</v>
      </c>
    </row>
    <row r="4" spans="1:7" x14ac:dyDescent="0.25">
      <c r="A4" t="s">
        <v>22</v>
      </c>
      <c r="B4">
        <v>1</v>
      </c>
      <c r="C4">
        <v>15</v>
      </c>
      <c r="D4">
        <v>2.5</v>
      </c>
      <c r="E4">
        <v>0.15</v>
      </c>
      <c r="F4">
        <v>1.42</v>
      </c>
      <c r="G4">
        <f>Tabela1[[#This Row],[comprimento]]*Tabela1[[#This Row],[profundidade]]*Tabela1[[#This Row],[altura]]</f>
        <v>0.53249999999999997</v>
      </c>
    </row>
    <row r="5" spans="1:7" x14ac:dyDescent="0.25">
      <c r="A5" t="s">
        <v>0</v>
      </c>
      <c r="B5">
        <v>2</v>
      </c>
      <c r="C5">
        <v>44.5</v>
      </c>
      <c r="D5">
        <v>1.38</v>
      </c>
      <c r="E5">
        <v>0.62</v>
      </c>
      <c r="F5">
        <v>0.66</v>
      </c>
      <c r="G5">
        <f>Tabela1[[#This Row],[comprimento]]*Tabela1[[#This Row],[profundidade]]*Tabela1[[#This Row],[altura]]</f>
        <v>0.56469599999999998</v>
      </c>
    </row>
    <row r="6" spans="1:7" x14ac:dyDescent="0.25">
      <c r="A6" t="s">
        <v>1</v>
      </c>
      <c r="B6">
        <v>1</v>
      </c>
      <c r="C6">
        <v>30</v>
      </c>
      <c r="D6">
        <v>1.73</v>
      </c>
      <c r="E6">
        <v>0.67</v>
      </c>
      <c r="F6">
        <v>0.69</v>
      </c>
      <c r="G6">
        <f>Tabela1[[#This Row],[comprimento]]*Tabela1[[#This Row],[profundidade]]*Tabela1[[#This Row],[altura]]</f>
        <v>0.79977899999999991</v>
      </c>
    </row>
    <row r="7" spans="1:7" x14ac:dyDescent="0.25">
      <c r="A7" t="s">
        <v>2</v>
      </c>
      <c r="B7">
        <v>1</v>
      </c>
      <c r="C7">
        <v>30</v>
      </c>
      <c r="D7">
        <v>1.73</v>
      </c>
      <c r="E7">
        <v>0.67</v>
      </c>
      <c r="F7">
        <v>0.69</v>
      </c>
      <c r="G7">
        <f>Tabela1[[#This Row],[comprimento]]*Tabela1[[#This Row],[profundidade]]*Tabela1[[#This Row],[altura]]</f>
        <v>0.79977899999999991</v>
      </c>
    </row>
    <row r="8" spans="1:7" x14ac:dyDescent="0.25">
      <c r="A8" t="s">
        <v>3</v>
      </c>
      <c r="B8">
        <v>2</v>
      </c>
      <c r="C8">
        <v>59.8</v>
      </c>
      <c r="D8">
        <v>0.98</v>
      </c>
      <c r="E8">
        <v>0.96</v>
      </c>
      <c r="F8">
        <v>1.05</v>
      </c>
      <c r="G8">
        <f>Tabela1[[#This Row],[comprimento]]*Tabela1[[#This Row],[profundidade]]*Tabela1[[#This Row],[altura]]</f>
        <v>0.98784000000000005</v>
      </c>
    </row>
    <row r="9" spans="1:7" x14ac:dyDescent="0.25">
      <c r="A9" t="s">
        <v>4</v>
      </c>
      <c r="B9">
        <v>4</v>
      </c>
      <c r="C9">
        <v>29.2</v>
      </c>
      <c r="D9">
        <v>0.7</v>
      </c>
      <c r="E9">
        <v>0.68</v>
      </c>
      <c r="F9">
        <v>0.98</v>
      </c>
      <c r="G9">
        <f>Tabela1[[#This Row],[comprimento]]*Tabela1[[#This Row],[profundidade]]*Tabela1[[#This Row],[altura]]</f>
        <v>0.46647999999999995</v>
      </c>
    </row>
    <row r="10" spans="1:7" x14ac:dyDescent="0.25">
      <c r="A10" t="s">
        <v>5</v>
      </c>
      <c r="B10">
        <v>6</v>
      </c>
      <c r="C10">
        <v>28.2</v>
      </c>
      <c r="D10">
        <v>0.7</v>
      </c>
      <c r="E10">
        <v>0.67</v>
      </c>
      <c r="F10">
        <v>0.98</v>
      </c>
      <c r="G10">
        <f>Tabela1[[#This Row],[comprimento]]*Tabela1[[#This Row],[profundidade]]*Tabela1[[#This Row],[altura]]</f>
        <v>0.45961999999999997</v>
      </c>
    </row>
    <row r="11" spans="1:7" x14ac:dyDescent="0.25">
      <c r="A11" t="s">
        <v>6</v>
      </c>
      <c r="B11">
        <v>1</v>
      </c>
      <c r="C11">
        <v>37.4</v>
      </c>
      <c r="D11">
        <v>0.95</v>
      </c>
      <c r="E11">
        <v>0.76</v>
      </c>
      <c r="F11">
        <v>1.04</v>
      </c>
      <c r="G11">
        <f>Tabela1[[#This Row],[comprimento]]*Tabela1[[#This Row],[profundidade]]*Tabela1[[#This Row],[altura]]</f>
        <v>0.75087999999999999</v>
      </c>
    </row>
    <row r="12" spans="1:7" x14ac:dyDescent="0.25">
      <c r="A12" t="s">
        <v>7</v>
      </c>
      <c r="B12">
        <v>2</v>
      </c>
      <c r="C12">
        <v>37.700000000000003</v>
      </c>
      <c r="D12">
        <v>0.95</v>
      </c>
      <c r="E12">
        <v>0.76</v>
      </c>
      <c r="F12">
        <v>1.04</v>
      </c>
      <c r="G12">
        <f>Tabela1[[#This Row],[comprimento]]*Tabela1[[#This Row],[profundidade]]*Tabela1[[#This Row],[altura]]</f>
        <v>0.75087999999999999</v>
      </c>
    </row>
    <row r="13" spans="1:7" x14ac:dyDescent="0.25">
      <c r="A13" t="s">
        <v>8</v>
      </c>
      <c r="B13">
        <v>1</v>
      </c>
      <c r="C13">
        <v>37.4</v>
      </c>
      <c r="D13">
        <v>0.95</v>
      </c>
      <c r="E13">
        <v>0.76</v>
      </c>
      <c r="F13">
        <v>1.04</v>
      </c>
      <c r="G13">
        <f>Tabela1[[#This Row],[comprimento]]*Tabela1[[#This Row],[profundidade]]*Tabela1[[#This Row],[altura]]</f>
        <v>0.75087999999999999</v>
      </c>
    </row>
    <row r="14" spans="1:7" x14ac:dyDescent="0.25">
      <c r="A14" t="s">
        <v>9</v>
      </c>
      <c r="B14">
        <v>1</v>
      </c>
      <c r="C14">
        <v>23.3</v>
      </c>
      <c r="D14">
        <v>0.68</v>
      </c>
      <c r="E14">
        <v>0.68</v>
      </c>
      <c r="F14">
        <v>0.53</v>
      </c>
      <c r="G14">
        <f>Tabela1[[#This Row],[comprimento]]*Tabela1[[#This Row],[profundidade]]*Tabela1[[#This Row],[altura]]</f>
        <v>0.24507200000000007</v>
      </c>
    </row>
    <row r="15" spans="1:7" x14ac:dyDescent="0.25">
      <c r="A15" t="s">
        <v>10</v>
      </c>
      <c r="B15">
        <v>2</v>
      </c>
      <c r="C15">
        <v>35</v>
      </c>
      <c r="D15">
        <v>0.6</v>
      </c>
      <c r="E15">
        <v>0.6</v>
      </c>
      <c r="F15">
        <v>0.63</v>
      </c>
      <c r="G15">
        <f>Tabela1[[#This Row],[comprimento]]*Tabela1[[#This Row],[profundidade]]*Tabela1[[#This Row],[altura]]</f>
        <v>0.2268</v>
      </c>
    </row>
    <row r="16" spans="1:7" x14ac:dyDescent="0.25">
      <c r="A16" t="s">
        <v>11</v>
      </c>
      <c r="B16">
        <v>1</v>
      </c>
      <c r="C16">
        <v>45</v>
      </c>
      <c r="D16">
        <v>1.3</v>
      </c>
      <c r="E16">
        <v>1.3</v>
      </c>
      <c r="F16">
        <v>0.54</v>
      </c>
      <c r="G16">
        <f>Tabela1[[#This Row],[comprimento]]*Tabela1[[#This Row],[profundidade]]*Tabela1[[#This Row],[altura]]</f>
        <v>0.91260000000000019</v>
      </c>
    </row>
    <row r="17" spans="1:7" x14ac:dyDescent="0.25">
      <c r="A17" t="s">
        <v>12</v>
      </c>
      <c r="B17">
        <v>1</v>
      </c>
      <c r="C17">
        <v>45</v>
      </c>
      <c r="D17">
        <v>0.55000000000000004</v>
      </c>
      <c r="E17">
        <v>0.55000000000000004</v>
      </c>
      <c r="F17">
        <v>0.68</v>
      </c>
      <c r="G17">
        <f>Tabela1[[#This Row],[comprimento]]*Tabela1[[#This Row],[profundidade]]*Tabela1[[#This Row],[altura]]</f>
        <v>0.20570000000000005</v>
      </c>
    </row>
    <row r="18" spans="1:7" x14ac:dyDescent="0.25">
      <c r="A18" t="s">
        <v>13</v>
      </c>
      <c r="B18">
        <v>1</v>
      </c>
      <c r="C18">
        <v>50</v>
      </c>
      <c r="D18">
        <v>1.35</v>
      </c>
      <c r="E18">
        <v>1</v>
      </c>
      <c r="F18">
        <v>0.55000000000000004</v>
      </c>
      <c r="G18">
        <f>Tabela1[[#This Row],[comprimento]]*Tabela1[[#This Row],[profundidade]]*Tabela1[[#This Row],[altura]]</f>
        <v>0.74250000000000016</v>
      </c>
    </row>
    <row r="19" spans="1:7" x14ac:dyDescent="0.25">
      <c r="A19" t="s">
        <v>14</v>
      </c>
      <c r="B19">
        <v>1</v>
      </c>
      <c r="C19">
        <v>20</v>
      </c>
      <c r="D19">
        <v>0.56999999999999995</v>
      </c>
      <c r="E19">
        <v>0.56999999999999995</v>
      </c>
      <c r="F19">
        <v>0.94</v>
      </c>
      <c r="G19">
        <f>Tabela1[[#This Row],[comprimento]]*Tabela1[[#This Row],[profundidade]]*Tabela1[[#This Row],[altura]]</f>
        <v>0.30540599999999996</v>
      </c>
    </row>
    <row r="20" spans="1:7" x14ac:dyDescent="0.25">
      <c r="A20" t="s">
        <v>16</v>
      </c>
      <c r="B20">
        <v>1</v>
      </c>
      <c r="C20">
        <v>20</v>
      </c>
      <c r="D20">
        <v>0.56999999999999995</v>
      </c>
      <c r="E20">
        <v>0.56999999999999995</v>
      </c>
      <c r="F20">
        <v>0.94</v>
      </c>
      <c r="G20">
        <f>Tabela1[[#This Row],[comprimento]]*Tabela1[[#This Row],[profundidade]]*Tabela1[[#This Row],[altura]]</f>
        <v>0.30540599999999996</v>
      </c>
    </row>
    <row r="21" spans="1:7" x14ac:dyDescent="0.25">
      <c r="A21" t="s">
        <v>18</v>
      </c>
      <c r="B21">
        <v>2</v>
      </c>
      <c r="C21">
        <v>30</v>
      </c>
      <c r="D21">
        <v>0.65</v>
      </c>
      <c r="E21">
        <v>0.55000000000000004</v>
      </c>
      <c r="F21">
        <v>0.65</v>
      </c>
      <c r="G21">
        <f>Tabela1[[#This Row],[comprimento]]*Tabela1[[#This Row],[profundidade]]*Tabela1[[#This Row],[altura]]</f>
        <v>0.23237500000000003</v>
      </c>
    </row>
    <row r="22" spans="1:7" x14ac:dyDescent="0.25">
      <c r="A22" t="s">
        <v>19</v>
      </c>
      <c r="B22">
        <v>1</v>
      </c>
      <c r="C22">
        <v>40</v>
      </c>
      <c r="D22">
        <v>1.38</v>
      </c>
      <c r="E22">
        <v>0.78</v>
      </c>
      <c r="F22">
        <v>0.52</v>
      </c>
      <c r="G22">
        <f>Tabela1[[#This Row],[comprimento]]*Tabela1[[#This Row],[profundidade]]*Tabela1[[#This Row],[altura]]</f>
        <v>0.559728</v>
      </c>
    </row>
    <row r="23" spans="1:7" x14ac:dyDescent="0.25">
      <c r="A23" t="s">
        <v>20</v>
      </c>
      <c r="B23">
        <v>1</v>
      </c>
      <c r="C23">
        <v>40</v>
      </c>
      <c r="D23">
        <v>1.38</v>
      </c>
      <c r="E23">
        <v>0.78</v>
      </c>
      <c r="F23">
        <v>0.52</v>
      </c>
      <c r="G23">
        <f>Tabela1[[#This Row],[comprimento]]*Tabela1[[#This Row],[profundidade]]*Tabela1[[#This Row],[altura]]</f>
        <v>0.559728</v>
      </c>
    </row>
    <row r="24" spans="1:7" x14ac:dyDescent="0.25">
      <c r="A24" t="s">
        <v>21</v>
      </c>
      <c r="B24">
        <v>1</v>
      </c>
      <c r="C24">
        <v>45</v>
      </c>
      <c r="D24">
        <v>1.9</v>
      </c>
      <c r="E24">
        <v>0.9</v>
      </c>
      <c r="F24">
        <v>0.8</v>
      </c>
      <c r="G24">
        <f>Tabela1[[#This Row],[comprimento]]*Tabela1[[#This Row],[profundidade]]*Tabela1[[#This Row],[altura]]</f>
        <v>1.3680000000000001</v>
      </c>
    </row>
    <row r="25" spans="1:7" x14ac:dyDescent="0.25">
      <c r="A25" t="s">
        <v>23</v>
      </c>
      <c r="B25">
        <v>1</v>
      </c>
      <c r="C25">
        <v>135.5</v>
      </c>
      <c r="D25">
        <v>1.97</v>
      </c>
      <c r="E25">
        <v>1.21</v>
      </c>
      <c r="F25">
        <v>0.98</v>
      </c>
      <c r="G25">
        <f>Tabela1[[#This Row],[comprimento]]*Tabela1[[#This Row],[profundidade]]*Tabela1[[#This Row],[altura]]</f>
        <v>2.3360259999999995</v>
      </c>
    </row>
    <row r="26" spans="1:7" x14ac:dyDescent="0.25">
      <c r="A26" t="s">
        <v>24</v>
      </c>
      <c r="B26">
        <v>1</v>
      </c>
      <c r="C26">
        <v>118.8</v>
      </c>
      <c r="D26">
        <v>2.97</v>
      </c>
      <c r="E26">
        <v>1.31</v>
      </c>
      <c r="F26">
        <v>1.0900000000000001</v>
      </c>
      <c r="G26">
        <f>Tabela1[[#This Row],[comprimento]]*Tabela1[[#This Row],[profundidade]]*Tabela1[[#This Row],[altura]]</f>
        <v>4.2408630000000009</v>
      </c>
    </row>
    <row r="27" spans="1:7" x14ac:dyDescent="0.25">
      <c r="A27" t="s">
        <v>25</v>
      </c>
      <c r="B27">
        <v>1</v>
      </c>
      <c r="C27">
        <v>134.6</v>
      </c>
      <c r="D27">
        <v>1.93</v>
      </c>
      <c r="E27">
        <v>1.32</v>
      </c>
      <c r="F27">
        <v>1.1399999999999999</v>
      </c>
      <c r="G27">
        <f>Tabela1[[#This Row],[comprimento]]*Tabela1[[#This Row],[profundidade]]*Tabela1[[#This Row],[altura]]</f>
        <v>2.904264</v>
      </c>
    </row>
    <row r="28" spans="1:7" x14ac:dyDescent="0.25">
      <c r="A28" t="s">
        <v>26</v>
      </c>
      <c r="B28">
        <v>1</v>
      </c>
      <c r="C28">
        <v>131.69999999999999</v>
      </c>
      <c r="D28">
        <v>1.76</v>
      </c>
      <c r="E28">
        <v>1.27</v>
      </c>
      <c r="F28">
        <v>1.1399999999999999</v>
      </c>
      <c r="G28">
        <f>Tabela1[[#This Row],[comprimento]]*Tabela1[[#This Row],[profundidade]]*Tabela1[[#This Row],[altura]]</f>
        <v>2.5481279999999997</v>
      </c>
    </row>
    <row r="29" spans="1:7" x14ac:dyDescent="0.25">
      <c r="A29" t="s">
        <v>27</v>
      </c>
      <c r="B29">
        <v>1</v>
      </c>
      <c r="C29">
        <v>107</v>
      </c>
      <c r="D29">
        <v>1.95</v>
      </c>
      <c r="E29">
        <v>1.37</v>
      </c>
      <c r="F29">
        <v>0.99</v>
      </c>
      <c r="G29">
        <f>Tabela1[[#This Row],[comprimento]]*Tabela1[[#This Row],[profundidade]]*Tabela1[[#This Row],[altura]]</f>
        <v>2.6447850000000002</v>
      </c>
    </row>
    <row r="30" spans="1:7" x14ac:dyDescent="0.25">
      <c r="A30" t="s">
        <v>28</v>
      </c>
      <c r="B30">
        <v>1</v>
      </c>
      <c r="C30">
        <v>109.3</v>
      </c>
      <c r="D30">
        <v>1.68</v>
      </c>
      <c r="E30">
        <v>0.82</v>
      </c>
      <c r="F30">
        <v>1.34</v>
      </c>
      <c r="G30">
        <f>Tabela1[[#This Row],[comprimento]]*Tabela1[[#This Row],[profundidade]]*Tabela1[[#This Row],[altura]]</f>
        <v>1.8459840000000001</v>
      </c>
    </row>
    <row r="31" spans="1:7" x14ac:dyDescent="0.25">
      <c r="A31" t="s">
        <v>29</v>
      </c>
      <c r="B31">
        <v>1</v>
      </c>
      <c r="C31">
        <v>110</v>
      </c>
      <c r="D31">
        <v>1.58</v>
      </c>
      <c r="E31">
        <v>1.02</v>
      </c>
      <c r="F31">
        <v>0.94</v>
      </c>
      <c r="G31">
        <f>Tabela1[[#This Row],[comprimento]]*Tabela1[[#This Row],[profundidade]]*Tabela1[[#This Row],[altura]]</f>
        <v>1.514904</v>
      </c>
    </row>
    <row r="32" spans="1:7" x14ac:dyDescent="0.25">
      <c r="A32" t="s">
        <v>30</v>
      </c>
      <c r="B32">
        <v>1</v>
      </c>
      <c r="C32">
        <v>112.2</v>
      </c>
      <c r="D32">
        <v>1.48</v>
      </c>
      <c r="E32">
        <v>1.02</v>
      </c>
      <c r="F32">
        <v>0.94</v>
      </c>
      <c r="G32">
        <f>Tabela1[[#This Row],[comprimento]]*Tabela1[[#This Row],[profundidade]]*Tabela1[[#This Row],[altura]]</f>
        <v>1.4190240000000001</v>
      </c>
    </row>
    <row r="33" spans="1:7" x14ac:dyDescent="0.25">
      <c r="A33" t="s">
        <v>31</v>
      </c>
      <c r="B33">
        <v>3</v>
      </c>
      <c r="C33">
        <v>10</v>
      </c>
      <c r="D33">
        <v>1.9</v>
      </c>
      <c r="E33">
        <v>0.4</v>
      </c>
      <c r="F33">
        <v>0.43</v>
      </c>
      <c r="G33">
        <f>Tabela1[[#This Row],[comprimento]]*Tabela1[[#This Row],[profundidade]]*Tabela1[[#This Row],[altura]]</f>
        <v>0.32679999999999998</v>
      </c>
    </row>
    <row r="34" spans="1:7" x14ac:dyDescent="0.25">
      <c r="A34" t="s">
        <v>32</v>
      </c>
      <c r="B34">
        <v>1</v>
      </c>
      <c r="C34">
        <v>10</v>
      </c>
      <c r="D34">
        <v>0.53</v>
      </c>
      <c r="E34">
        <v>0.41</v>
      </c>
      <c r="F34">
        <v>1.43</v>
      </c>
      <c r="G34">
        <f>Tabela1[[#This Row],[comprimento]]*Tabela1[[#This Row],[profundidade]]*Tabela1[[#This Row],[altura]]</f>
        <v>0.31073899999999999</v>
      </c>
    </row>
    <row r="35" spans="1:7" x14ac:dyDescent="0.25">
      <c r="A35" t="s">
        <v>33</v>
      </c>
      <c r="B35">
        <v>1</v>
      </c>
      <c r="C35">
        <v>10</v>
      </c>
      <c r="D35">
        <v>0.53</v>
      </c>
      <c r="E35">
        <v>0.41</v>
      </c>
      <c r="F35">
        <v>1.43</v>
      </c>
      <c r="G35">
        <f>Tabela1[[#This Row],[comprimento]]*Tabela1[[#This Row],[profundidade]]*Tabela1[[#This Row],[altura]]</f>
        <v>0.31073899999999999</v>
      </c>
    </row>
    <row r="36" spans="1:7" x14ac:dyDescent="0.25">
      <c r="A36" t="s">
        <v>34</v>
      </c>
      <c r="B36">
        <v>2</v>
      </c>
      <c r="C36">
        <v>10</v>
      </c>
      <c r="D36">
        <v>1.9</v>
      </c>
      <c r="E36">
        <v>0.4</v>
      </c>
      <c r="F36">
        <v>0.43</v>
      </c>
      <c r="G36">
        <f>Tabela1[[#This Row],[comprimento]]*Tabela1[[#This Row],[profundidade]]*Tabela1[[#This Row],[altura]]</f>
        <v>0.32679999999999998</v>
      </c>
    </row>
    <row r="37" spans="1:7" x14ac:dyDescent="0.25">
      <c r="A37" t="s">
        <v>35</v>
      </c>
      <c r="B37">
        <v>2</v>
      </c>
      <c r="C37">
        <v>28.7</v>
      </c>
      <c r="D37">
        <v>0.66</v>
      </c>
      <c r="E37">
        <v>0.66</v>
      </c>
      <c r="F37">
        <v>1.28</v>
      </c>
      <c r="G37">
        <f>Tabela1[[#This Row],[comprimento]]*Tabela1[[#This Row],[profundidade]]*Tabela1[[#This Row],[altura]]</f>
        <v>0.55756800000000006</v>
      </c>
    </row>
    <row r="38" spans="1:7" x14ac:dyDescent="0.25">
      <c r="A38" t="s">
        <v>36</v>
      </c>
      <c r="B38">
        <v>2</v>
      </c>
      <c r="C38">
        <v>70.599999999999994</v>
      </c>
      <c r="D38">
        <v>1.07</v>
      </c>
      <c r="E38">
        <v>1</v>
      </c>
      <c r="F38">
        <v>1.02</v>
      </c>
      <c r="G38">
        <f>Tabela1[[#This Row],[comprimento]]*Tabela1[[#This Row],[profundidade]]*Tabela1[[#This Row],[altura]]</f>
        <v>1.0914000000000001</v>
      </c>
    </row>
    <row r="39" spans="1:7" x14ac:dyDescent="0.25">
      <c r="A39" t="s">
        <v>37</v>
      </c>
      <c r="B39">
        <v>1</v>
      </c>
      <c r="C39">
        <v>119.4</v>
      </c>
      <c r="D39">
        <v>1.78</v>
      </c>
      <c r="E39">
        <v>0.78</v>
      </c>
      <c r="F39">
        <v>1.39</v>
      </c>
      <c r="G39">
        <f>Tabela1[[#This Row],[comprimento]]*Tabela1[[#This Row],[profundidade]]*Tabela1[[#This Row],[altura]]</f>
        <v>1.9298759999999999</v>
      </c>
    </row>
    <row r="40" spans="1:7" x14ac:dyDescent="0.25">
      <c r="A40" t="s">
        <v>38</v>
      </c>
      <c r="B40">
        <v>1</v>
      </c>
      <c r="C40">
        <v>116.6</v>
      </c>
      <c r="D40">
        <v>1.63</v>
      </c>
      <c r="E40">
        <v>0.78</v>
      </c>
      <c r="F40">
        <v>1.39</v>
      </c>
      <c r="G40">
        <f>Tabela1[[#This Row],[comprimento]]*Tabela1[[#This Row],[profundidade]]*Tabela1[[#This Row],[altura]]</f>
        <v>1.7672459999999997</v>
      </c>
    </row>
    <row r="41" spans="1:7" x14ac:dyDescent="0.25">
      <c r="A41" t="s">
        <v>39</v>
      </c>
      <c r="B41">
        <v>1</v>
      </c>
      <c r="C41">
        <v>121.2</v>
      </c>
      <c r="D41">
        <v>1.88</v>
      </c>
      <c r="E41">
        <v>1.07</v>
      </c>
      <c r="F41">
        <v>0.99</v>
      </c>
      <c r="G41">
        <f>Tabela1[[#This Row],[comprimento]]*Tabela1[[#This Row],[profundidade]]*Tabela1[[#This Row],[altura]]</f>
        <v>1.991484</v>
      </c>
    </row>
    <row r="42" spans="1:7" x14ac:dyDescent="0.25">
      <c r="A42" t="s">
        <v>40</v>
      </c>
      <c r="B42">
        <v>1</v>
      </c>
      <c r="C42">
        <v>152.4</v>
      </c>
      <c r="D42">
        <v>1.53</v>
      </c>
      <c r="E42">
        <v>1.47</v>
      </c>
      <c r="F42">
        <v>0.99</v>
      </c>
      <c r="G42">
        <f>Tabela1[[#This Row],[comprimento]]*Tabela1[[#This Row],[profundidade]]*Tabela1[[#This Row],[altura]]</f>
        <v>2.2266089999999998</v>
      </c>
    </row>
    <row r="43" spans="1:7" x14ac:dyDescent="0.25">
      <c r="A43" t="s">
        <v>41</v>
      </c>
      <c r="B43">
        <v>1</v>
      </c>
      <c r="C43">
        <v>99.6</v>
      </c>
      <c r="D43">
        <v>1.33</v>
      </c>
      <c r="E43">
        <v>1.07</v>
      </c>
      <c r="F43">
        <v>0.99</v>
      </c>
      <c r="G43">
        <f>Tabela1[[#This Row],[comprimento]]*Tabela1[[#This Row],[profundidade]]*Tabela1[[#This Row],[altura]]</f>
        <v>1.4088690000000001</v>
      </c>
    </row>
    <row r="44" spans="1:7" x14ac:dyDescent="0.25">
      <c r="A44" t="s">
        <v>42</v>
      </c>
      <c r="B44">
        <v>1</v>
      </c>
      <c r="C44">
        <v>105.8</v>
      </c>
      <c r="D44">
        <v>1.51</v>
      </c>
      <c r="E44">
        <v>0.92</v>
      </c>
      <c r="F44">
        <v>1.29</v>
      </c>
      <c r="G44">
        <f>Tabela1[[#This Row],[comprimento]]*Tabela1[[#This Row],[profundidade]]*Tabela1[[#This Row],[altura]]</f>
        <v>1.792068</v>
      </c>
    </row>
    <row r="45" spans="1:7" x14ac:dyDescent="0.25">
      <c r="A45" t="s">
        <v>43</v>
      </c>
      <c r="B45">
        <v>1</v>
      </c>
      <c r="C45">
        <v>105.6</v>
      </c>
      <c r="D45">
        <v>1.51</v>
      </c>
      <c r="E45">
        <v>0.92</v>
      </c>
      <c r="F45">
        <v>1.29</v>
      </c>
      <c r="G45">
        <f>Tabela1[[#This Row],[comprimento]]*Tabela1[[#This Row],[profundidade]]*Tabela1[[#This Row],[altura]]</f>
        <v>1.792068</v>
      </c>
    </row>
    <row r="46" spans="1:7" x14ac:dyDescent="0.25">
      <c r="A46" t="s">
        <v>44</v>
      </c>
      <c r="B46">
        <v>1</v>
      </c>
      <c r="C46">
        <v>94.3</v>
      </c>
      <c r="D46">
        <v>1.88</v>
      </c>
      <c r="E46">
        <v>1.27</v>
      </c>
      <c r="F46">
        <v>0.49</v>
      </c>
      <c r="G46">
        <f>Tabela1[[#This Row],[comprimento]]*Tabela1[[#This Row],[profundidade]]*Tabela1[[#This Row],[altura]]</f>
        <v>1.169924</v>
      </c>
    </row>
    <row r="47" spans="1:7" x14ac:dyDescent="0.25">
      <c r="A47" t="s">
        <v>45</v>
      </c>
      <c r="B47">
        <v>1</v>
      </c>
      <c r="C47">
        <v>87.5</v>
      </c>
      <c r="D47">
        <v>1.73</v>
      </c>
      <c r="E47">
        <v>1.22</v>
      </c>
      <c r="F47">
        <v>0.49</v>
      </c>
      <c r="G47">
        <f>Tabela1[[#This Row],[comprimento]]*Tabela1[[#This Row],[profundidade]]*Tabela1[[#This Row],[altura]]</f>
        <v>1.0341939999999998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Alberto Nishimura</dc:creator>
  <cp:lastModifiedBy>Alejandro Torres Taborda</cp:lastModifiedBy>
  <dcterms:created xsi:type="dcterms:W3CDTF">2026-04-07T13:40:00Z</dcterms:created>
  <dcterms:modified xsi:type="dcterms:W3CDTF">2026-06-03T11:28:26Z</dcterms:modified>
</cp:coreProperties>
</file>